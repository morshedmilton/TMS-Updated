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aiubedu60714-my.sharepoint.com/personal/23-51579-2_student_aiub_edu/Documents/Software Engineering Project/"/>
    </mc:Choice>
  </mc:AlternateContent>
  <xr:revisionPtr revIDLastSave="2" documentId="8_{335ACE91-2851-4174-B57B-2728904CED74}" xr6:coauthVersionLast="47" xr6:coauthVersionMax="47" xr10:uidLastSave="{2F068C68-84AC-42FD-B02E-378A74E1755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task_end" localSheetId="0">Sheet1!$E1</definedName>
    <definedName name="task_progress" localSheetId="0">Sheet1!$G1</definedName>
    <definedName name="task_start" localSheetId="0">Sheet1!$D1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 l="1"/>
  <c r="J5" i="1"/>
  <c r="J6" i="1" l="1"/>
  <c r="K5" i="1"/>
  <c r="L5" i="1" l="1"/>
  <c r="K6" i="1"/>
  <c r="M5" i="1" l="1"/>
  <c r="L6" i="1"/>
  <c r="N5" i="1" l="1"/>
  <c r="M6" i="1"/>
  <c r="N6" i="1" l="1"/>
  <c r="O5" i="1"/>
  <c r="P5" i="1" l="1"/>
  <c r="O6" i="1"/>
  <c r="Q5" i="1" l="1"/>
  <c r="P6" i="1"/>
  <c r="R5" i="1" l="1"/>
  <c r="Q6" i="1"/>
  <c r="R6" i="1" l="1"/>
  <c r="S5" i="1"/>
  <c r="S6" i="1" l="1"/>
  <c r="T5" i="1"/>
  <c r="T6" i="1" l="1"/>
  <c r="U5" i="1"/>
  <c r="U6" i="1" l="1"/>
  <c r="V5" i="1"/>
  <c r="W5" i="1" l="1"/>
  <c r="V6" i="1"/>
  <c r="X5" i="1" l="1"/>
  <c r="W6" i="1"/>
  <c r="Y5" i="1" l="1"/>
  <c r="X6" i="1"/>
  <c r="Z5" i="1" l="1"/>
  <c r="Y6" i="1"/>
  <c r="AA5" i="1" l="1"/>
  <c r="Z6" i="1"/>
  <c r="AB5" i="1" l="1"/>
  <c r="AA6" i="1"/>
  <c r="AB6" i="1" l="1"/>
  <c r="AC5" i="1"/>
  <c r="AC6" i="1" l="1"/>
  <c r="AD5" i="1"/>
  <c r="AE5" i="1" l="1"/>
  <c r="AD6" i="1"/>
  <c r="AF5" i="1" l="1"/>
  <c r="AE6" i="1"/>
  <c r="AG5" i="1" l="1"/>
  <c r="AF6" i="1"/>
  <c r="AH5" i="1" l="1"/>
  <c r="AG6" i="1"/>
  <c r="AI5" i="1" l="1"/>
  <c r="AH6" i="1"/>
  <c r="AI6" i="1" l="1"/>
  <c r="AJ5" i="1"/>
  <c r="AJ6" i="1" l="1"/>
  <c r="AK5" i="1"/>
  <c r="AK6" i="1" l="1"/>
  <c r="AL5" i="1"/>
  <c r="AM5" i="1" l="1"/>
  <c r="AL6" i="1"/>
  <c r="AN5" i="1" l="1"/>
  <c r="AM6" i="1"/>
  <c r="AN6" i="1" l="1"/>
  <c r="AO5" i="1"/>
  <c r="AP5" i="1" l="1"/>
  <c r="AQ5" i="1" s="1"/>
  <c r="AO6" i="1"/>
  <c r="AP6" i="1" l="1"/>
  <c r="AQ6" i="1" l="1"/>
</calcChain>
</file>

<file path=xl/sharedStrings.xml><?xml version="1.0" encoding="utf-8"?>
<sst xmlns="http://schemas.openxmlformats.org/spreadsheetml/2006/main" count="84" uniqueCount="43">
  <si>
    <t>PROJECT START:</t>
  </si>
  <si>
    <t>TASK</t>
  </si>
  <si>
    <t>ASSIGNED TO</t>
  </si>
  <si>
    <t>START</t>
  </si>
  <si>
    <t>END</t>
  </si>
  <si>
    <t>PROGRESS</t>
  </si>
  <si>
    <t>All Members</t>
  </si>
  <si>
    <t>Phase 1: Project Planning &amp; Estimation</t>
  </si>
  <si>
    <t>Establish Project Scope &amp; Analyze Feasibility</t>
  </si>
  <si>
    <t>Task Decomposition &amp; WBS Creation</t>
  </si>
  <si>
    <t>Effort Estimation using LOC &amp; COCOMO Models</t>
  </si>
  <si>
    <t>Develop Project Schedule &amp; Define Milestones</t>
  </si>
  <si>
    <t>Perform Risk Analysis &amp; Build Risk Table</t>
  </si>
  <si>
    <t>Morshed, Tanjim</t>
  </si>
  <si>
    <t>Jahidul, Nahin</t>
  </si>
  <si>
    <t>Morshed, Nahin</t>
  </si>
  <si>
    <t xml:space="preserve">Phase 2: Software </t>
  </si>
  <si>
    <t xml:space="preserve">      Architectural Design (High-Level Structure)</t>
  </si>
  <si>
    <t>Component-Level Design (Modularity &amp; Cohesion)</t>
  </si>
  <si>
    <t>Database Design (ERD Modeling)</t>
  </si>
  <si>
    <t>Interface Design (UI/UX Wireframing)</t>
  </si>
  <si>
    <t>Phase 3: Construction &amp; Implementation</t>
  </si>
  <si>
    <t>Setup SCM Repository (Version Control)</t>
  </si>
  <si>
    <t xml:space="preserve">   Backend: Code Generation &amp; Unit Testing</t>
  </si>
  <si>
    <t>Frontend: Code Generation &amp; Component Testing</t>
  </si>
  <si>
    <t>Phase 4: Integration &amp; Validation Testing</t>
  </si>
  <si>
    <t>System Integration (Connecting Modules)</t>
  </si>
  <si>
    <t>Perform Quality Assurance &amp; Feature-level Testing</t>
  </si>
  <si>
    <t>Conduct User Acceptance Testing (UAT)</t>
  </si>
  <si>
    <t>Final Bug Fixing &amp; Code Inspection</t>
  </si>
  <si>
    <t>Phase 5: Deployment &amp; Project Closure</t>
  </si>
  <si>
    <t>Establish Production Baseline &amp; Deploy Application</t>
  </si>
  <si>
    <t>Prepare Final Report &amp; User Manual</t>
  </si>
  <si>
    <t>Prepare Final Project Presentation</t>
  </si>
  <si>
    <t>Jahidul, Tanjim</t>
  </si>
  <si>
    <t>Jahidul, Morshed</t>
  </si>
  <si>
    <t>Duration</t>
  </si>
  <si>
    <t>5</t>
  </si>
  <si>
    <t>1</t>
  </si>
  <si>
    <t>2</t>
  </si>
  <si>
    <t>7</t>
  </si>
  <si>
    <t>4</t>
  </si>
  <si>
    <t>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</si>
</sst>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F800]dddd\,\ mmmm\ dd\,\ yyyy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1B1C1D"/>
      <name val="Google Sans Text"/>
    </font>
    <font>
      <sz val="11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vertical="center"/>
    </xf>
    <xf numFmtId="164" fontId="4" fillId="2" borderId="3" xfId="0" applyNumberFormat="1" applyFont="1" applyFill="1" applyBorder="1" applyAlignment="1">
      <alignment horizontal="center" vertical="center" shrinkToFit="1"/>
    </xf>
    <xf numFmtId="164" fontId="4" fillId="2" borderId="0" xfId="0" applyNumberFormat="1" applyFont="1" applyFill="1" applyAlignment="1">
      <alignment horizontal="center" vertical="center" shrinkToFit="1"/>
    </xf>
    <xf numFmtId="0" fontId="0" fillId="3" borderId="0" xfId="0" applyFill="1" applyAlignment="1">
      <alignment horizontal="left" vertical="center" inden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164" fontId="4" fillId="2" borderId="6" xfId="0" applyNumberFormat="1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2" fontId="0" fillId="0" borderId="0" xfId="0" applyNumberFormat="1" applyAlignment="1">
      <alignment vertical="center"/>
    </xf>
    <xf numFmtId="2" fontId="2" fillId="3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3" borderId="0" xfId="0" applyNumberFormat="1" applyFill="1" applyAlignment="1">
      <alignment horizontal="center" vertical="center"/>
    </xf>
    <xf numFmtId="0" fontId="5" fillId="0" borderId="11" xfId="0" applyFont="1" applyBorder="1" applyAlignment="1">
      <alignment horizontal="center" vertical="top"/>
    </xf>
    <xf numFmtId="164" fontId="4" fillId="2" borderId="10" xfId="0" applyNumberFormat="1" applyFont="1" applyFill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 shrinkToFit="1"/>
    </xf>
    <xf numFmtId="0" fontId="0" fillId="7" borderId="0" xfId="0" applyFill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4" xfId="0" applyBorder="1" applyAlignment="1">
      <alignment vertical="center"/>
    </xf>
    <xf numFmtId="0" fontId="5" fillId="0" borderId="24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top"/>
    </xf>
    <xf numFmtId="0" fontId="5" fillId="5" borderId="4" xfId="0" applyFont="1" applyFill="1" applyBorder="1" applyAlignment="1">
      <alignment horizontal="center" vertical="top"/>
    </xf>
    <xf numFmtId="0" fontId="5" fillId="5" borderId="24" xfId="0" applyFont="1" applyFill="1" applyBorder="1" applyAlignment="1">
      <alignment horizontal="center" vertical="top"/>
    </xf>
    <xf numFmtId="164" fontId="4" fillId="7" borderId="0" xfId="0" applyNumberFormat="1" applyFont="1" applyFill="1" applyAlignment="1">
      <alignment horizontal="center" vertical="center" shrinkToFit="1"/>
    </xf>
    <xf numFmtId="0" fontId="4" fillId="7" borderId="0" xfId="0" applyFont="1" applyFill="1" applyAlignment="1">
      <alignment horizontal="center" vertical="center" shrinkToFit="1"/>
    </xf>
    <xf numFmtId="0" fontId="5" fillId="7" borderId="0" xfId="0" applyFont="1" applyFill="1" applyAlignment="1">
      <alignment horizontal="center" vertical="top"/>
    </xf>
    <xf numFmtId="0" fontId="0" fillId="0" borderId="10" xfId="0" applyBorder="1" applyAlignment="1">
      <alignment vertical="center"/>
    </xf>
    <xf numFmtId="0" fontId="8" fillId="7" borderId="4" xfId="0" applyFont="1" applyFill="1" applyBorder="1" applyAlignment="1">
      <alignment horizontal="center" vertical="top"/>
    </xf>
    <xf numFmtId="0" fontId="5" fillId="7" borderId="4" xfId="0" applyFont="1" applyFill="1" applyBorder="1" applyAlignment="1">
      <alignment horizontal="center" vertical="top"/>
    </xf>
    <xf numFmtId="0" fontId="5" fillId="7" borderId="24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0" fontId="0" fillId="6" borderId="0" xfId="0" applyFill="1" applyAlignment="1">
      <alignment vertical="center"/>
    </xf>
    <xf numFmtId="165" fontId="0" fillId="6" borderId="0" xfId="0" applyNumberFormat="1" applyFill="1" applyAlignment="1">
      <alignment vertical="center"/>
    </xf>
    <xf numFmtId="2" fontId="0" fillId="6" borderId="0" xfId="0" applyNumberFormat="1" applyFill="1" applyAlignment="1">
      <alignment vertical="center"/>
    </xf>
    <xf numFmtId="0" fontId="0" fillId="6" borderId="0" xfId="0" applyFill="1" applyAlignment="1">
      <alignment horizontal="right" vertical="center"/>
    </xf>
    <xf numFmtId="165" fontId="0" fillId="6" borderId="0" xfId="0" applyNumberFormat="1" applyFill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3" fillId="7" borderId="19" xfId="0" applyFont="1" applyFill="1" applyBorder="1" applyAlignment="1">
      <alignment horizontal="left" vertical="center" indent="2"/>
    </xf>
    <xf numFmtId="0" fontId="3" fillId="7" borderId="19" xfId="0" applyFont="1" applyFill="1" applyBorder="1" applyAlignment="1">
      <alignment horizontal="center" vertical="center"/>
    </xf>
    <xf numFmtId="165" fontId="0" fillId="7" borderId="19" xfId="0" applyNumberFormat="1" applyFill="1" applyBorder="1" applyAlignment="1">
      <alignment horizontal="center" vertical="center"/>
    </xf>
    <xf numFmtId="2" fontId="2" fillId="7" borderId="19" xfId="0" applyNumberFormat="1" applyFont="1" applyFill="1" applyBorder="1" applyAlignment="1">
      <alignment horizontal="center" vertical="center"/>
    </xf>
    <xf numFmtId="9" fontId="0" fillId="7" borderId="20" xfId="0" applyNumberFormat="1" applyFill="1" applyBorder="1" applyAlignment="1">
      <alignment horizontal="center" vertical="center"/>
    </xf>
    <xf numFmtId="0" fontId="0" fillId="7" borderId="19" xfId="0" applyFill="1" applyBorder="1" applyAlignment="1">
      <alignment horizontal="left" vertical="center"/>
    </xf>
    <xf numFmtId="0" fontId="0" fillId="7" borderId="19" xfId="0" applyFill="1" applyBorder="1" applyAlignment="1">
      <alignment horizontal="center" vertical="center"/>
    </xf>
    <xf numFmtId="0" fontId="0" fillId="7" borderId="19" xfId="0" applyFill="1" applyBorder="1" applyAlignment="1">
      <alignment horizontal="left" vertical="center" indent="2"/>
    </xf>
    <xf numFmtId="0" fontId="0" fillId="7" borderId="19" xfId="0" applyFill="1" applyBorder="1" applyAlignment="1">
      <alignment horizontal="left" vertical="center" indent="1"/>
    </xf>
    <xf numFmtId="0" fontId="7" fillId="7" borderId="19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 vertical="center"/>
    </xf>
    <xf numFmtId="165" fontId="0" fillId="7" borderId="0" xfId="0" applyNumberFormat="1" applyFill="1" applyAlignment="1">
      <alignment vertical="center"/>
    </xf>
    <xf numFmtId="2" fontId="0" fillId="7" borderId="0" xfId="0" applyNumberFormat="1" applyFill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5" fontId="0" fillId="2" borderId="2" xfId="0" applyNumberFormat="1" applyFill="1" applyBorder="1" applyAlignment="1">
      <alignment horizontal="center" vertical="center"/>
    </xf>
    <xf numFmtId="15" fontId="0" fillId="2" borderId="5" xfId="0" applyNumberFormat="1" applyFill="1" applyBorder="1" applyAlignment="1">
      <alignment horizontal="center" vertical="center"/>
    </xf>
    <xf numFmtId="15" fontId="0" fillId="2" borderId="12" xfId="0" applyNumberFormat="1" applyFill="1" applyBorder="1" applyAlignment="1">
      <alignment horizontal="center" vertical="center"/>
    </xf>
    <xf numFmtId="15" fontId="0" fillId="7" borderId="0" xfId="0" applyNumberFormat="1" applyFill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9" fontId="0" fillId="8" borderId="17" xfId="0" applyNumberForma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 shrinkToFit="1"/>
    </xf>
    <xf numFmtId="2" fontId="2" fillId="8" borderId="14" xfId="0" applyNumberFormat="1" applyFont="1" applyFill="1" applyBorder="1" applyAlignment="1">
      <alignment horizontal="center" vertical="center"/>
    </xf>
    <xf numFmtId="9" fontId="0" fillId="8" borderId="15" xfId="0" applyNumberForma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165" fontId="0" fillId="8" borderId="14" xfId="0" applyNumberForma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G36"/>
  <sheetViews>
    <sheetView showGridLines="0" tabSelected="1" zoomScale="70" zoomScaleNormal="70" workbookViewId="0">
      <selection activeCell="G39" sqref="G39"/>
    </sheetView>
  </sheetViews>
  <sheetFormatPr defaultColWidth="8.77734375" defaultRowHeight="14.4"/>
  <cols>
    <col min="1" max="1" width="8.77734375" style="1"/>
    <col min="2" max="2" width="51.6640625" style="1" customWidth="1"/>
    <col min="3" max="3" width="29.109375" style="1" customWidth="1"/>
    <col min="4" max="4" width="37.21875" style="15" customWidth="1"/>
    <col min="5" max="5" width="35.109375" style="15" customWidth="1"/>
    <col min="6" max="6" width="15.5546875" style="13" customWidth="1"/>
    <col min="7" max="7" width="14" style="1" customWidth="1"/>
    <col min="8" max="8" width="1.33203125" style="1" customWidth="1"/>
    <col min="9" max="85" width="3.5546875" style="1" customWidth="1"/>
    <col min="86" max="16384" width="8.77734375" style="1"/>
  </cols>
  <sheetData>
    <row r="4" spans="1:85">
      <c r="B4" s="47" t="s">
        <v>0</v>
      </c>
      <c r="C4" s="48">
        <v>45887</v>
      </c>
      <c r="D4" s="45"/>
      <c r="E4" s="45"/>
      <c r="F4" s="46"/>
      <c r="G4" s="44"/>
      <c r="H4" s="44"/>
      <c r="I4" s="66">
        <v>45887</v>
      </c>
      <c r="J4" s="67"/>
      <c r="K4" s="67"/>
      <c r="L4" s="67"/>
      <c r="M4" s="67"/>
      <c r="N4" s="67"/>
      <c r="O4" s="68"/>
      <c r="P4" s="66">
        <v>45891</v>
      </c>
      <c r="Q4" s="67"/>
      <c r="R4" s="67"/>
      <c r="S4" s="67"/>
      <c r="T4" s="67"/>
      <c r="U4" s="67"/>
      <c r="V4" s="68"/>
      <c r="W4" s="66">
        <v>45898</v>
      </c>
      <c r="X4" s="67"/>
      <c r="Y4" s="67"/>
      <c r="Z4" s="67"/>
      <c r="AA4" s="67"/>
      <c r="AB4" s="67"/>
      <c r="AC4" s="68"/>
      <c r="AD4" s="66">
        <v>45907</v>
      </c>
      <c r="AE4" s="67"/>
      <c r="AF4" s="67"/>
      <c r="AG4" s="67"/>
      <c r="AH4" s="67"/>
      <c r="AI4" s="67"/>
      <c r="AJ4" s="68"/>
      <c r="AK4" s="66">
        <v>45914</v>
      </c>
      <c r="AL4" s="67"/>
      <c r="AM4" s="67"/>
      <c r="AN4" s="67"/>
      <c r="AO4" s="67"/>
      <c r="AP4" s="67"/>
      <c r="AQ4" s="69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</row>
    <row r="5" spans="1:85">
      <c r="B5" s="44"/>
      <c r="C5" s="44"/>
      <c r="D5" s="45"/>
      <c r="E5" s="45"/>
      <c r="F5" s="46"/>
      <c r="G5" s="44"/>
      <c r="H5" s="44"/>
      <c r="I5" s="2">
        <f>$C$4</f>
        <v>45887</v>
      </c>
      <c r="J5" s="3">
        <f>I5+1</f>
        <v>45888</v>
      </c>
      <c r="K5" s="3">
        <f t="shared" ref="K5:AP5" si="0">J5+1</f>
        <v>45889</v>
      </c>
      <c r="L5" s="3">
        <f t="shared" si="0"/>
        <v>45890</v>
      </c>
      <c r="M5" s="3">
        <f t="shared" si="0"/>
        <v>45891</v>
      </c>
      <c r="N5" s="3">
        <f t="shared" si="0"/>
        <v>45892</v>
      </c>
      <c r="O5" s="11">
        <f t="shared" si="0"/>
        <v>45893</v>
      </c>
      <c r="P5" s="2">
        <f t="shared" si="0"/>
        <v>45894</v>
      </c>
      <c r="Q5" s="3">
        <f t="shared" si="0"/>
        <v>45895</v>
      </c>
      <c r="R5" s="3">
        <f t="shared" si="0"/>
        <v>45896</v>
      </c>
      <c r="S5" s="3">
        <f t="shared" si="0"/>
        <v>45897</v>
      </c>
      <c r="T5" s="3">
        <f t="shared" si="0"/>
        <v>45898</v>
      </c>
      <c r="U5" s="3">
        <f t="shared" si="0"/>
        <v>45899</v>
      </c>
      <c r="V5" s="11">
        <f t="shared" si="0"/>
        <v>45900</v>
      </c>
      <c r="W5" s="2">
        <f t="shared" si="0"/>
        <v>45901</v>
      </c>
      <c r="X5" s="3">
        <f t="shared" si="0"/>
        <v>45902</v>
      </c>
      <c r="Y5" s="3">
        <f t="shared" si="0"/>
        <v>45903</v>
      </c>
      <c r="Z5" s="3">
        <f t="shared" si="0"/>
        <v>45904</v>
      </c>
      <c r="AA5" s="3">
        <f t="shared" si="0"/>
        <v>45905</v>
      </c>
      <c r="AB5" s="3">
        <f t="shared" si="0"/>
        <v>45906</v>
      </c>
      <c r="AC5" s="11">
        <f t="shared" si="0"/>
        <v>45907</v>
      </c>
      <c r="AD5" s="2">
        <f t="shared" si="0"/>
        <v>45908</v>
      </c>
      <c r="AE5" s="3">
        <f t="shared" si="0"/>
        <v>45909</v>
      </c>
      <c r="AF5" s="3">
        <f t="shared" si="0"/>
        <v>45910</v>
      </c>
      <c r="AG5" s="3">
        <f t="shared" si="0"/>
        <v>45911</v>
      </c>
      <c r="AH5" s="3">
        <f t="shared" si="0"/>
        <v>45912</v>
      </c>
      <c r="AI5" s="3">
        <f t="shared" si="0"/>
        <v>45913</v>
      </c>
      <c r="AJ5" s="11">
        <f t="shared" si="0"/>
        <v>45914</v>
      </c>
      <c r="AK5" s="2">
        <f t="shared" si="0"/>
        <v>45915</v>
      </c>
      <c r="AL5" s="3">
        <f t="shared" si="0"/>
        <v>45916</v>
      </c>
      <c r="AM5" s="3">
        <f t="shared" si="0"/>
        <v>45917</v>
      </c>
      <c r="AN5" s="3">
        <f t="shared" si="0"/>
        <v>45918</v>
      </c>
      <c r="AO5" s="3">
        <f t="shared" si="0"/>
        <v>45919</v>
      </c>
      <c r="AP5" s="3">
        <f t="shared" si="0"/>
        <v>45920</v>
      </c>
      <c r="AQ5" s="18">
        <f>AP5+1</f>
        <v>45921</v>
      </c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</row>
    <row r="6" spans="1:85" ht="15" thickBot="1">
      <c r="A6" s="12"/>
      <c r="B6" s="4" t="s">
        <v>1</v>
      </c>
      <c r="C6" s="5" t="s">
        <v>2</v>
      </c>
      <c r="D6" s="16" t="s">
        <v>3</v>
      </c>
      <c r="E6" s="16" t="s">
        <v>4</v>
      </c>
      <c r="F6" s="14" t="s">
        <v>36</v>
      </c>
      <c r="G6" s="5" t="s">
        <v>5</v>
      </c>
      <c r="H6" s="6"/>
      <c r="I6" s="7" t="str">
        <f>LEFT(TEXT(I5,"ddd"),1)</f>
        <v>M</v>
      </c>
      <c r="J6" s="7" t="str">
        <f t="shared" ref="J6:P6" si="1">LEFT(TEXT(J5,"ddd"),1)</f>
        <v>T</v>
      </c>
      <c r="K6" s="7" t="str">
        <f t="shared" si="1"/>
        <v>W</v>
      </c>
      <c r="L6" s="7" t="str">
        <f t="shared" si="1"/>
        <v>T</v>
      </c>
      <c r="M6" s="7" t="str">
        <f t="shared" si="1"/>
        <v>F</v>
      </c>
      <c r="N6" s="7" t="str">
        <f t="shared" si="1"/>
        <v>S</v>
      </c>
      <c r="O6" s="7" t="str">
        <f t="shared" si="1"/>
        <v>S</v>
      </c>
      <c r="P6" s="7" t="str">
        <f t="shared" si="1"/>
        <v>M</v>
      </c>
      <c r="Q6" s="7" t="str">
        <f t="shared" ref="Q6" si="2">LEFT(TEXT(Q5,"ddd"),1)</f>
        <v>T</v>
      </c>
      <c r="R6" s="7" t="str">
        <f t="shared" ref="R6" si="3">LEFT(TEXT(R5,"ddd"),1)</f>
        <v>W</v>
      </c>
      <c r="S6" s="7" t="str">
        <f t="shared" ref="S6" si="4">LEFT(TEXT(S5,"ddd"),1)</f>
        <v>T</v>
      </c>
      <c r="T6" s="7" t="str">
        <f t="shared" ref="T6" si="5">LEFT(TEXT(T5,"ddd"),1)</f>
        <v>F</v>
      </c>
      <c r="U6" s="7" t="str">
        <f t="shared" ref="U6" si="6">LEFT(TEXT(U5,"ddd"),1)</f>
        <v>S</v>
      </c>
      <c r="V6" s="7" t="str">
        <f t="shared" ref="V6:W6" si="7">LEFT(TEXT(V5,"ddd"),1)</f>
        <v>S</v>
      </c>
      <c r="W6" s="7" t="str">
        <f t="shared" si="7"/>
        <v>M</v>
      </c>
      <c r="X6" s="7" t="str">
        <f t="shared" ref="X6" si="8">LEFT(TEXT(X5,"ddd"),1)</f>
        <v>T</v>
      </c>
      <c r="Y6" s="7" t="str">
        <f t="shared" ref="Y6" si="9">LEFT(TEXT(Y5,"ddd"),1)</f>
        <v>W</v>
      </c>
      <c r="Z6" s="7" t="str">
        <f t="shared" ref="Z6" si="10">LEFT(TEXT(Z5,"ddd"),1)</f>
        <v>T</v>
      </c>
      <c r="AA6" s="7" t="str">
        <f t="shared" ref="AA6" si="11">LEFT(TEXT(AA5,"ddd"),1)</f>
        <v>F</v>
      </c>
      <c r="AB6" s="7" t="str">
        <f t="shared" ref="AB6" si="12">LEFT(TEXT(AB5,"ddd"),1)</f>
        <v>S</v>
      </c>
      <c r="AC6" s="7" t="str">
        <f t="shared" ref="AC6:AD6" si="13">LEFT(TEXT(AC5,"ddd"),1)</f>
        <v>S</v>
      </c>
      <c r="AD6" s="7" t="str">
        <f t="shared" si="13"/>
        <v>M</v>
      </c>
      <c r="AE6" s="7" t="str">
        <f t="shared" ref="AE6" si="14">LEFT(TEXT(AE5,"ddd"),1)</f>
        <v>T</v>
      </c>
      <c r="AF6" s="7" t="str">
        <f t="shared" ref="AF6" si="15">LEFT(TEXT(AF5,"ddd"),1)</f>
        <v>W</v>
      </c>
      <c r="AG6" s="7" t="str">
        <f t="shared" ref="AG6" si="16">LEFT(TEXT(AG5,"ddd"),1)</f>
        <v>T</v>
      </c>
      <c r="AH6" s="7" t="str">
        <f t="shared" ref="AH6" si="17">LEFT(TEXT(AH5,"ddd"),1)</f>
        <v>F</v>
      </c>
      <c r="AI6" s="7" t="str">
        <f t="shared" ref="AI6" si="18">LEFT(TEXT(AI5,"ddd"),1)</f>
        <v>S</v>
      </c>
      <c r="AJ6" s="7" t="str">
        <f t="shared" ref="AJ6:AK6" si="19">LEFT(TEXT(AJ5,"ddd"),1)</f>
        <v>S</v>
      </c>
      <c r="AK6" s="7" t="str">
        <f t="shared" si="19"/>
        <v>M</v>
      </c>
      <c r="AL6" s="7" t="str">
        <f t="shared" ref="AL6" si="20">LEFT(TEXT(AL5,"ddd"),1)</f>
        <v>T</v>
      </c>
      <c r="AM6" s="7" t="str">
        <f t="shared" ref="AM6" si="21">LEFT(TEXT(AM5,"ddd"),1)</f>
        <v>W</v>
      </c>
      <c r="AN6" s="7" t="str">
        <f t="shared" ref="AN6" si="22">LEFT(TEXT(AN5,"ddd"),1)</f>
        <v>T</v>
      </c>
      <c r="AO6" s="7" t="str">
        <f t="shared" ref="AO6" si="23">LEFT(TEXT(AO5,"ddd"),1)</f>
        <v>F</v>
      </c>
      <c r="AP6" s="7" t="str">
        <f t="shared" ref="AP6" si="24">LEFT(TEXT(AP5,"ddd"),1)</f>
        <v>S</v>
      </c>
      <c r="AQ6" s="19" t="str">
        <f t="shared" ref="AQ6" si="25">LEFT(TEXT(AQ5,"ddd"),1)</f>
        <v>S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</row>
    <row r="7" spans="1:85">
      <c r="A7" s="82">
        <v>1</v>
      </c>
      <c r="B7" s="84" t="s">
        <v>7</v>
      </c>
      <c r="C7" s="84" t="s">
        <v>6</v>
      </c>
      <c r="D7" s="85">
        <v>45887</v>
      </c>
      <c r="E7" s="85">
        <v>45891</v>
      </c>
      <c r="F7" s="79" t="s">
        <v>37</v>
      </c>
      <c r="G7" s="80">
        <v>1</v>
      </c>
      <c r="H7" s="21"/>
      <c r="I7" s="75" t="s">
        <v>42</v>
      </c>
      <c r="J7" s="20"/>
      <c r="K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39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</row>
    <row r="8" spans="1:85">
      <c r="A8" s="83"/>
      <c r="B8" s="77"/>
      <c r="C8" s="77"/>
      <c r="D8" s="76"/>
      <c r="E8" s="76"/>
      <c r="F8" s="71"/>
      <c r="G8" s="72"/>
      <c r="H8" s="23"/>
      <c r="I8" s="65"/>
      <c r="J8" s="24"/>
      <c r="K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2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</row>
    <row r="9" spans="1:85">
      <c r="A9" s="49">
        <v>1.1000000000000001</v>
      </c>
      <c r="B9" s="50" t="s">
        <v>8</v>
      </c>
      <c r="C9" s="51" t="s">
        <v>13</v>
      </c>
      <c r="D9" s="52">
        <v>45887</v>
      </c>
      <c r="E9" s="52">
        <v>45887</v>
      </c>
      <c r="F9" s="53" t="s">
        <v>38</v>
      </c>
      <c r="G9" s="54">
        <v>1</v>
      </c>
      <c r="H9" s="8"/>
      <c r="I9" s="43"/>
      <c r="J9" s="10"/>
      <c r="K9" s="9"/>
      <c r="L9" s="4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7"/>
      <c r="AR9" s="38"/>
      <c r="AS9" s="20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</row>
    <row r="10" spans="1:85">
      <c r="A10" s="49">
        <v>1.2</v>
      </c>
      <c r="B10" s="50" t="s">
        <v>9</v>
      </c>
      <c r="C10" s="51" t="s">
        <v>14</v>
      </c>
      <c r="D10" s="52">
        <v>45888</v>
      </c>
      <c r="E10" s="52">
        <v>45888</v>
      </c>
      <c r="F10" s="53" t="s">
        <v>38</v>
      </c>
      <c r="G10" s="54">
        <v>1</v>
      </c>
      <c r="H10" s="8"/>
      <c r="I10" s="9"/>
      <c r="J10" s="34"/>
      <c r="K10" s="9"/>
      <c r="L10" s="9"/>
      <c r="M10" s="41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7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</row>
    <row r="11" spans="1:85">
      <c r="A11" s="49">
        <v>1.3</v>
      </c>
      <c r="B11" s="50" t="s">
        <v>10</v>
      </c>
      <c r="C11" s="51" t="s">
        <v>6</v>
      </c>
      <c r="D11" s="52">
        <v>45889</v>
      </c>
      <c r="E11" s="52">
        <v>45889</v>
      </c>
      <c r="F11" s="53" t="s">
        <v>38</v>
      </c>
      <c r="G11" s="54">
        <v>1</v>
      </c>
      <c r="H11" s="8"/>
      <c r="I11" s="9"/>
      <c r="J11" s="9"/>
      <c r="K11" s="34"/>
      <c r="L11" s="9"/>
      <c r="M11" s="9"/>
      <c r="N11" s="41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17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</row>
    <row r="12" spans="1:85">
      <c r="A12" s="49">
        <v>1.4</v>
      </c>
      <c r="B12" s="50" t="s">
        <v>11</v>
      </c>
      <c r="C12" s="51" t="s">
        <v>6</v>
      </c>
      <c r="D12" s="52">
        <v>45709</v>
      </c>
      <c r="E12" s="52">
        <v>45709</v>
      </c>
      <c r="F12" s="53" t="s">
        <v>38</v>
      </c>
      <c r="G12" s="54">
        <v>1</v>
      </c>
      <c r="H12" s="8"/>
      <c r="I12" s="9"/>
      <c r="J12" s="9"/>
      <c r="K12" s="9"/>
      <c r="L12" s="34"/>
      <c r="M12" s="9"/>
      <c r="N12" s="9"/>
      <c r="O12" s="41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17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</row>
    <row r="13" spans="1:85">
      <c r="A13" s="49">
        <v>1.5</v>
      </c>
      <c r="B13" s="50" t="s">
        <v>12</v>
      </c>
      <c r="C13" s="51" t="s">
        <v>15</v>
      </c>
      <c r="D13" s="52">
        <v>45891</v>
      </c>
      <c r="E13" s="52">
        <v>45891</v>
      </c>
      <c r="F13" s="53" t="s">
        <v>38</v>
      </c>
      <c r="G13" s="54">
        <v>1</v>
      </c>
      <c r="H13" s="8"/>
      <c r="I13" s="9"/>
      <c r="J13" s="9"/>
      <c r="K13" s="9"/>
      <c r="L13" s="9"/>
      <c r="M13" s="34"/>
      <c r="N13" s="9"/>
      <c r="O13" s="9"/>
      <c r="P13" s="41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17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</row>
    <row r="14" spans="1:85">
      <c r="A14" s="73">
        <v>2</v>
      </c>
      <c r="B14" s="77" t="s">
        <v>16</v>
      </c>
      <c r="C14" s="74" t="s">
        <v>6</v>
      </c>
      <c r="D14" s="76">
        <v>45894</v>
      </c>
      <c r="E14" s="76">
        <v>45898</v>
      </c>
      <c r="F14" s="71" t="s">
        <v>37</v>
      </c>
      <c r="G14" s="72">
        <v>1</v>
      </c>
      <c r="H14" s="25"/>
      <c r="I14" s="26"/>
      <c r="J14" s="26"/>
      <c r="K14" s="26"/>
      <c r="L14" s="26"/>
      <c r="M14" s="26"/>
      <c r="N14" s="63" t="s">
        <v>42</v>
      </c>
      <c r="O14" s="64"/>
      <c r="P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7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</row>
    <row r="15" spans="1:85">
      <c r="A15" s="73"/>
      <c r="B15" s="77"/>
      <c r="C15" s="74"/>
      <c r="D15" s="76"/>
      <c r="E15" s="76"/>
      <c r="F15" s="71"/>
      <c r="G15" s="72"/>
      <c r="H15" s="28"/>
      <c r="I15" s="29"/>
      <c r="J15" s="29"/>
      <c r="K15" s="29"/>
      <c r="L15" s="29"/>
      <c r="M15" s="29"/>
      <c r="N15" s="65"/>
      <c r="O15" s="65"/>
      <c r="P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3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</row>
    <row r="16" spans="1:85">
      <c r="A16" s="49">
        <v>2.1</v>
      </c>
      <c r="B16" s="55" t="s">
        <v>17</v>
      </c>
      <c r="C16" s="56" t="s">
        <v>34</v>
      </c>
      <c r="D16" s="52">
        <v>45894</v>
      </c>
      <c r="E16" s="52">
        <v>45895</v>
      </c>
      <c r="F16" s="53" t="s">
        <v>39</v>
      </c>
      <c r="G16" s="54">
        <v>1</v>
      </c>
      <c r="H16" s="8"/>
      <c r="I16" s="9"/>
      <c r="J16" s="9"/>
      <c r="K16" s="9"/>
      <c r="L16" s="9"/>
      <c r="M16" s="9"/>
      <c r="N16" s="9"/>
      <c r="O16" s="9"/>
      <c r="Q16" s="34"/>
      <c r="R16" s="9"/>
      <c r="S16" s="20"/>
      <c r="T16" s="41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17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</row>
    <row r="17" spans="1:85">
      <c r="A17" s="49">
        <v>2.2000000000000002</v>
      </c>
      <c r="B17" s="57" t="s">
        <v>18</v>
      </c>
      <c r="C17" s="56" t="s">
        <v>15</v>
      </c>
      <c r="D17" s="52">
        <v>45896</v>
      </c>
      <c r="E17" s="52">
        <v>45896</v>
      </c>
      <c r="F17" s="53" t="s">
        <v>38</v>
      </c>
      <c r="G17" s="54">
        <v>1</v>
      </c>
      <c r="H17" s="8"/>
      <c r="I17" s="9"/>
      <c r="J17" s="9"/>
      <c r="K17" s="9"/>
      <c r="L17" s="9"/>
      <c r="M17" s="9"/>
      <c r="N17" s="9"/>
      <c r="O17" s="9"/>
      <c r="P17" s="9"/>
      <c r="Q17" s="9"/>
      <c r="R17" s="34"/>
      <c r="S17" s="9"/>
      <c r="T17" s="9"/>
      <c r="U17" s="41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17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</row>
    <row r="18" spans="1:85">
      <c r="A18" s="49">
        <v>2.2999999999999998</v>
      </c>
      <c r="B18" s="57" t="s">
        <v>19</v>
      </c>
      <c r="C18" s="56" t="s">
        <v>34</v>
      </c>
      <c r="D18" s="52">
        <v>45897</v>
      </c>
      <c r="E18" s="52">
        <v>45897</v>
      </c>
      <c r="F18" s="53" t="s">
        <v>38</v>
      </c>
      <c r="G18" s="54">
        <v>1</v>
      </c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34"/>
      <c r="T18" s="9"/>
      <c r="U18" s="9"/>
      <c r="V18" s="41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17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</row>
    <row r="19" spans="1:85">
      <c r="A19" s="49">
        <v>2.4</v>
      </c>
      <c r="B19" s="57" t="s">
        <v>20</v>
      </c>
      <c r="C19" s="56" t="s">
        <v>15</v>
      </c>
      <c r="D19" s="52">
        <v>45898</v>
      </c>
      <c r="E19" s="52">
        <v>45898</v>
      </c>
      <c r="F19" s="53" t="s">
        <v>38</v>
      </c>
      <c r="G19" s="54">
        <v>1</v>
      </c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34"/>
      <c r="U19" s="9"/>
      <c r="V19" s="9"/>
      <c r="W19" s="41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17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</row>
    <row r="20" spans="1:85">
      <c r="A20" s="73">
        <v>3</v>
      </c>
      <c r="B20" s="74" t="s">
        <v>21</v>
      </c>
      <c r="C20" s="74" t="s">
        <v>6</v>
      </c>
      <c r="D20" s="76">
        <v>45901</v>
      </c>
      <c r="E20" s="76">
        <v>45909</v>
      </c>
      <c r="F20" s="71" t="s">
        <v>40</v>
      </c>
      <c r="G20" s="72">
        <v>1</v>
      </c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63" t="s">
        <v>42</v>
      </c>
      <c r="V20" s="64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7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</row>
    <row r="21" spans="1:85">
      <c r="A21" s="73"/>
      <c r="B21" s="74"/>
      <c r="C21" s="74"/>
      <c r="D21" s="76"/>
      <c r="E21" s="76"/>
      <c r="F21" s="71"/>
      <c r="G21" s="72"/>
      <c r="H21" s="2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65"/>
      <c r="V21" s="65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3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</row>
    <row r="22" spans="1:85">
      <c r="A22" s="49">
        <v>3.1</v>
      </c>
      <c r="B22" s="57" t="s">
        <v>22</v>
      </c>
      <c r="C22" s="56" t="s">
        <v>35</v>
      </c>
      <c r="D22" s="52">
        <v>45901</v>
      </c>
      <c r="E22" s="52">
        <v>45901</v>
      </c>
      <c r="F22" s="53" t="s">
        <v>38</v>
      </c>
      <c r="G22" s="54">
        <v>1</v>
      </c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34"/>
      <c r="X22" s="41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17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</row>
    <row r="23" spans="1:85">
      <c r="A23" s="49">
        <v>3.2</v>
      </c>
      <c r="B23" s="58" t="s">
        <v>23</v>
      </c>
      <c r="C23" s="59" t="s">
        <v>34</v>
      </c>
      <c r="D23" s="52">
        <v>45902</v>
      </c>
      <c r="E23" s="52">
        <v>45905</v>
      </c>
      <c r="F23" s="53" t="s">
        <v>41</v>
      </c>
      <c r="G23" s="54">
        <v>1</v>
      </c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4"/>
      <c r="Y23" s="34"/>
      <c r="Z23" s="34"/>
      <c r="AA23" s="34"/>
      <c r="AB23" s="41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17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</row>
    <row r="24" spans="1:85">
      <c r="A24" s="49">
        <v>3.3</v>
      </c>
      <c r="B24" s="57" t="s">
        <v>24</v>
      </c>
      <c r="C24" s="60" t="s">
        <v>15</v>
      </c>
      <c r="D24" s="52">
        <v>45904</v>
      </c>
      <c r="E24" s="52">
        <v>45909</v>
      </c>
      <c r="F24" s="53" t="s">
        <v>41</v>
      </c>
      <c r="G24" s="54">
        <v>1</v>
      </c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34"/>
      <c r="AA24" s="34"/>
      <c r="AB24" s="34"/>
      <c r="AC24" s="34"/>
      <c r="AD24" s="34"/>
      <c r="AE24" s="34"/>
      <c r="AF24" s="41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17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</row>
    <row r="25" spans="1:85">
      <c r="A25" s="73">
        <v>4</v>
      </c>
      <c r="B25" s="74" t="s">
        <v>25</v>
      </c>
      <c r="C25" s="81" t="s">
        <v>6</v>
      </c>
      <c r="D25" s="76">
        <v>45910</v>
      </c>
      <c r="E25" s="76">
        <v>45916</v>
      </c>
      <c r="F25" s="71" t="s">
        <v>37</v>
      </c>
      <c r="G25" s="72">
        <v>1</v>
      </c>
      <c r="H25" s="25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E25" s="63" t="s">
        <v>42</v>
      </c>
      <c r="AF25" s="64"/>
      <c r="AH25" s="26"/>
      <c r="AI25" s="26"/>
      <c r="AJ25" s="26"/>
      <c r="AK25" s="26"/>
      <c r="AL25" s="26"/>
      <c r="AM25" s="26"/>
      <c r="AN25" s="26"/>
      <c r="AO25" s="26"/>
      <c r="AP25" s="26"/>
      <c r="AQ25" s="27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</row>
    <row r="26" spans="1:85">
      <c r="A26" s="73"/>
      <c r="B26" s="74"/>
      <c r="C26" s="81"/>
      <c r="D26" s="76"/>
      <c r="E26" s="76"/>
      <c r="F26" s="71"/>
      <c r="G26" s="72"/>
      <c r="H26" s="28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E26" s="65"/>
      <c r="AF26" s="65"/>
      <c r="AH26" s="29"/>
      <c r="AI26" s="29"/>
      <c r="AJ26" s="29"/>
      <c r="AK26" s="29"/>
      <c r="AL26" s="29"/>
      <c r="AM26" s="29"/>
      <c r="AN26" s="29"/>
      <c r="AO26" s="29"/>
      <c r="AP26" s="29"/>
      <c r="AQ26" s="3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</row>
    <row r="27" spans="1:85">
      <c r="A27" s="49">
        <v>4.0999999999999996</v>
      </c>
      <c r="B27" s="57" t="s">
        <v>26</v>
      </c>
      <c r="C27" s="60" t="s">
        <v>6</v>
      </c>
      <c r="D27" s="52">
        <v>45910</v>
      </c>
      <c r="E27" s="52">
        <v>45911</v>
      </c>
      <c r="F27" s="53" t="s">
        <v>39</v>
      </c>
      <c r="G27" s="54">
        <v>1</v>
      </c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34"/>
      <c r="AG27" s="34"/>
      <c r="AH27" s="41"/>
      <c r="AI27" s="9"/>
      <c r="AJ27" s="9"/>
      <c r="AK27" s="9"/>
      <c r="AL27" s="9"/>
      <c r="AM27" s="9"/>
      <c r="AN27" s="9"/>
      <c r="AO27" s="9"/>
      <c r="AP27" s="9"/>
      <c r="AQ27" s="17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</row>
    <row r="28" spans="1:85">
      <c r="A28" s="49">
        <v>4.2</v>
      </c>
      <c r="B28" s="57" t="s">
        <v>28</v>
      </c>
      <c r="C28" s="60" t="s">
        <v>15</v>
      </c>
      <c r="D28" s="52">
        <v>45912</v>
      </c>
      <c r="E28" s="52">
        <v>45912</v>
      </c>
      <c r="F28" s="53" t="s">
        <v>38</v>
      </c>
      <c r="G28" s="54">
        <v>1</v>
      </c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34"/>
      <c r="AI28" s="41"/>
      <c r="AJ28" s="9"/>
      <c r="AK28" s="9"/>
      <c r="AL28" s="9"/>
      <c r="AM28" s="9"/>
      <c r="AN28" s="9"/>
      <c r="AO28" s="9"/>
      <c r="AP28" s="9"/>
      <c r="AQ28" s="17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</row>
    <row r="29" spans="1:85">
      <c r="A29" s="49">
        <v>4.3</v>
      </c>
      <c r="B29" s="57" t="s">
        <v>29</v>
      </c>
      <c r="C29" s="60" t="s">
        <v>6</v>
      </c>
      <c r="D29" s="52">
        <v>45915</v>
      </c>
      <c r="E29" s="52">
        <v>45915</v>
      </c>
      <c r="F29" s="53" t="s">
        <v>38</v>
      </c>
      <c r="G29" s="54">
        <v>1</v>
      </c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34"/>
      <c r="AL29" s="41"/>
      <c r="AM29" s="9"/>
      <c r="AN29" s="9"/>
      <c r="AO29" s="9"/>
      <c r="AP29" s="9"/>
      <c r="AQ29" s="17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</row>
    <row r="30" spans="1:85">
      <c r="A30" s="49">
        <v>4.4000000000000004</v>
      </c>
      <c r="B30" s="57" t="s">
        <v>27</v>
      </c>
      <c r="C30" s="60" t="s">
        <v>34</v>
      </c>
      <c r="D30" s="52">
        <v>45916</v>
      </c>
      <c r="E30" s="52">
        <v>45916</v>
      </c>
      <c r="F30" s="53" t="s">
        <v>38</v>
      </c>
      <c r="G30" s="54">
        <v>1</v>
      </c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34"/>
      <c r="AM30" s="41"/>
      <c r="AN30" s="9"/>
      <c r="AO30" s="9"/>
      <c r="AP30" s="9"/>
      <c r="AQ30" s="17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</row>
    <row r="31" spans="1:85">
      <c r="A31" s="73">
        <v>5</v>
      </c>
      <c r="B31" s="74" t="s">
        <v>30</v>
      </c>
      <c r="C31" s="81" t="s">
        <v>6</v>
      </c>
      <c r="D31" s="76">
        <v>45917</v>
      </c>
      <c r="E31" s="76">
        <v>45918</v>
      </c>
      <c r="F31" s="71" t="s">
        <v>39</v>
      </c>
      <c r="G31" s="72">
        <v>1</v>
      </c>
      <c r="H31" s="25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K31" s="26"/>
      <c r="AL31" s="63" t="s">
        <v>42</v>
      </c>
      <c r="AM31" s="64"/>
      <c r="AO31" s="26"/>
      <c r="AP31" s="26"/>
      <c r="AQ31" s="27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</row>
    <row r="32" spans="1:85">
      <c r="A32" s="73"/>
      <c r="B32" s="74"/>
      <c r="C32" s="81"/>
      <c r="D32" s="76"/>
      <c r="E32" s="76"/>
      <c r="F32" s="71"/>
      <c r="G32" s="72"/>
      <c r="H32" s="28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K32" s="29"/>
      <c r="AL32" s="65"/>
      <c r="AM32" s="65"/>
      <c r="AO32" s="29"/>
      <c r="AP32" s="29"/>
      <c r="AQ32" s="3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</row>
    <row r="33" spans="1:85">
      <c r="A33" s="49">
        <v>5.0999999999999996</v>
      </c>
      <c r="B33" s="57" t="s">
        <v>31</v>
      </c>
      <c r="C33" s="60" t="s">
        <v>34</v>
      </c>
      <c r="D33" s="52">
        <v>45917</v>
      </c>
      <c r="E33" s="52">
        <v>45917</v>
      </c>
      <c r="F33" s="53" t="s">
        <v>38</v>
      </c>
      <c r="G33" s="54">
        <v>1</v>
      </c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34"/>
      <c r="AN33" s="41"/>
      <c r="AO33" s="9"/>
      <c r="AP33" s="9"/>
      <c r="AQ33" s="17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</row>
    <row r="34" spans="1:85">
      <c r="A34" s="49">
        <v>5.2</v>
      </c>
      <c r="B34" s="57" t="s">
        <v>32</v>
      </c>
      <c r="C34" s="60" t="s">
        <v>15</v>
      </c>
      <c r="D34" s="52">
        <v>45917</v>
      </c>
      <c r="E34" s="52">
        <v>45918</v>
      </c>
      <c r="F34" s="53" t="s">
        <v>39</v>
      </c>
      <c r="G34" s="54">
        <v>1</v>
      </c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34"/>
      <c r="AN34" s="34"/>
      <c r="AO34" s="41"/>
      <c r="AP34" s="9"/>
      <c r="AQ34" s="17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</row>
    <row r="35" spans="1:85">
      <c r="A35" s="49">
        <v>5.3</v>
      </c>
      <c r="B35" s="57" t="s">
        <v>33</v>
      </c>
      <c r="C35" s="56" t="s">
        <v>6</v>
      </c>
      <c r="D35" s="52">
        <v>45918</v>
      </c>
      <c r="E35" s="52">
        <v>45918</v>
      </c>
      <c r="F35" s="53" t="s">
        <v>38</v>
      </c>
      <c r="G35" s="54">
        <v>1</v>
      </c>
      <c r="H35" s="31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5"/>
      <c r="AO35" s="42"/>
      <c r="AP35" s="32"/>
      <c r="AQ35" s="33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</row>
    <row r="36" spans="1:85">
      <c r="A36" s="20"/>
      <c r="B36" s="20"/>
      <c r="C36" s="20"/>
      <c r="D36" s="61"/>
      <c r="E36" s="61"/>
      <c r="F36" s="62"/>
      <c r="G36" s="20"/>
    </row>
  </sheetData>
  <mergeCells count="52">
    <mergeCell ref="BF5:CG35"/>
    <mergeCell ref="F7:F8"/>
    <mergeCell ref="G7:G8"/>
    <mergeCell ref="A31:A32"/>
    <mergeCell ref="B31:B32"/>
    <mergeCell ref="C31:C32"/>
    <mergeCell ref="D31:D32"/>
    <mergeCell ref="E31:E32"/>
    <mergeCell ref="F14:F15"/>
    <mergeCell ref="G14:G15"/>
    <mergeCell ref="A7:A8"/>
    <mergeCell ref="B7:B8"/>
    <mergeCell ref="C7:C8"/>
    <mergeCell ref="D7:D8"/>
    <mergeCell ref="E7:E8"/>
    <mergeCell ref="C25:C26"/>
    <mergeCell ref="E14:E15"/>
    <mergeCell ref="D25:D26"/>
    <mergeCell ref="E25:E26"/>
    <mergeCell ref="F31:F32"/>
    <mergeCell ref="G31:G32"/>
    <mergeCell ref="F25:F26"/>
    <mergeCell ref="G25:G26"/>
    <mergeCell ref="F20:F21"/>
    <mergeCell ref="G20:G21"/>
    <mergeCell ref="A25:A26"/>
    <mergeCell ref="B25:B26"/>
    <mergeCell ref="I4:O4"/>
    <mergeCell ref="I7:I8"/>
    <mergeCell ref="N14:O15"/>
    <mergeCell ref="A20:A21"/>
    <mergeCell ref="B20:B21"/>
    <mergeCell ref="C20:C21"/>
    <mergeCell ref="D20:D21"/>
    <mergeCell ref="E20:E21"/>
    <mergeCell ref="A14:A15"/>
    <mergeCell ref="B14:B15"/>
    <mergeCell ref="C14:C15"/>
    <mergeCell ref="D14:D15"/>
    <mergeCell ref="CA4:CG4"/>
    <mergeCell ref="AR4:AX4"/>
    <mergeCell ref="AY4:BE4"/>
    <mergeCell ref="BF4:BL4"/>
    <mergeCell ref="BM4:BS4"/>
    <mergeCell ref="BT4:BZ4"/>
    <mergeCell ref="U20:V21"/>
    <mergeCell ref="AE25:AF26"/>
    <mergeCell ref="AL31:AM32"/>
    <mergeCell ref="P4:V4"/>
    <mergeCell ref="W4:AC4"/>
    <mergeCell ref="AD4:AJ4"/>
    <mergeCell ref="AK4:AQ4"/>
  </mergeCells>
  <conditionalFormatting sqref="B22:C22 B23 B16:C20 B9:C14 B7:C7 F16:F20 F9:F14 F7 B24:C25 F22:F25 B33:C35 B27:C31 F33:F35 F27:F31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C22 B23 B16:C20 B9:C14 B24:C25 B33:C35 B27:C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5:AM35 I30:AK30 I24:Y24 I19:S19 I16:O16 U16:BE16 I12:BE12 AT9:BE9 J9:AR9 I10 K10:BE10 I11:J11 L11:BE11 I13:L13 N13:BE13 R16 I17:Q17 S17:BE17 I18:R18 T18:BE18 U19:BE19 I22:V22 X22:BE22 I23:W23 AB23:BE23 AF24:BE24 I27:AE27 AH27:BE27 I28:AG28 AI28:BE28 I29:AJ29 AL29:BE29 AM30:BE30 AN33:BE33 I33:AL34 AO34:BE35">
    <cfRule type="colorScale" priority="7">
      <colorScale>
        <cfvo type="min"/>
        <cfvo type="max"/>
        <color rgb="FFFF7128"/>
        <color rgb="FFFFEF9C"/>
      </colorScale>
    </cfRule>
  </conditionalFormatting>
  <conditionalFormatting sqref="J9:AQ9 AT9:BE9 I10 K10:BE10 I11:J11 L11:BE11 I12:BE12 I13:L13 N13:BE13 I16:O16 R16 U16:BE16 I17:Q17 S17:BE17 I18:R18 T18:BE18 I19:S19 U19:BE19 I22:V22 X22:BE22 I23:W23 AB23:BE23 I24:Y24 AF24:BE24 I27:AE27 AH27:BE27 I28:AG28 AI28:BE28 I29:AJ29 AL29:BE29 I30:AK30 AM30:BE30 AN33:BE33 I33:AL34 AO34:BE35 I35:AM35">
    <cfRule type="expression" dxfId="8" priority="3">
      <formula>1*AND(I$5&gt;=task_start,I$5&lt;=task_start+(task_progress*(task_end-task_start+1))-1)</formula>
    </cfRule>
    <cfRule type="expression" dxfId="7" priority="5">
      <formula>AND(I$5&gt;=$D9,I$5&lt;=$E9)</formula>
    </cfRule>
    <cfRule type="cellIs" dxfId="6" priority="6" operator="greaterThan">
      <formula>AND(I$5&gt;=$D9,I$5&lt;=$E9)</formula>
    </cfRule>
  </conditionalFormatting>
  <conditionalFormatting sqref="T16">
    <cfRule type="expression" dxfId="5" priority="375">
      <formula>1*AND(S$5&gt;=task_start,S$5&lt;=task_start+(task_progress*(task_end-task_start+1))-1)</formula>
    </cfRule>
    <cfRule type="expression" dxfId="4" priority="376">
      <formula>AND(S$5&gt;=$D16,S$5&lt;=$E16)</formula>
    </cfRule>
    <cfRule type="cellIs" dxfId="3" priority="377" operator="greaterThan">
      <formula>AND(S$5&gt;=$D16,S$5&lt;=$E16)</formula>
    </cfRule>
    <cfRule type="colorScale" priority="378">
      <colorScale>
        <cfvo type="min"/>
        <cfvo type="max"/>
        <color rgb="FFFF7128"/>
        <color rgb="FFFFEF9C"/>
      </colorScale>
    </cfRule>
  </conditionalFormatting>
  <conditionalFormatting sqref="AR9">
    <cfRule type="expression" dxfId="2" priority="382">
      <formula>1*AND(AS$5&gt;=task_start,AS$5&lt;=task_start+(task_progress*(task_end-task_start+1))-1)</formula>
    </cfRule>
    <cfRule type="expression" dxfId="1" priority="383">
      <formula>AND(AS$5&gt;=$D9,AS$5&lt;=$E9)</formula>
    </cfRule>
    <cfRule type="cellIs" dxfId="0" priority="384" operator="greaterThan">
      <formula>AND(AS$5&gt;=$D9,AS$5&lt;=$E9)</formula>
    </cfRule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MORSHED MILTON</cp:lastModifiedBy>
  <dcterms:created xsi:type="dcterms:W3CDTF">2024-03-02T17:39:00Z</dcterms:created>
  <dcterms:modified xsi:type="dcterms:W3CDTF">2025-09-30T19:06:54Z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D1399EA79BBC482EB9442C2E25059FBF_12</vt:lpwstr>
  </property>
  <property fmtid="{D5CDD505-2E9C-101B-9397-08002B2CF9AE}" pid="3" name="KSOProductBuildVer">
    <vt:lpwstr>1033-12.2.0.13431</vt:lpwstr>
  </property>
</Properties>
</file>